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C459FC46-7E2B-4980-A2AC-BC7DF328A9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Buy a car" sheetId="3" r:id="rId2"/>
    <sheet name="Rideshare" sheetId="4" r:id="rId3"/>
  </sheets>
  <definedNames>
    <definedName name="AnnualCostOfTime_BuyCar">Table13[[#Totals],[Unit]]</definedName>
    <definedName name="AnnualCostOfTime_Ridesharing">Table15[[#Totals],[Cost]]</definedName>
    <definedName name="AnnualFareCost">Table14[[#Totals],[Costs/Percent]]</definedName>
    <definedName name="AnnualFuelCost">Table12[[#Totals],[Unit]]</definedName>
    <definedName name="AnnualPurchaseCost">Table11[[#Totals],[Cost]]</definedName>
    <definedName name="AnnualUsageCost">Table3[[#Totals],[Cost]]</definedName>
    <definedName name="AveDistancePerTrip">Summary!$D$8</definedName>
    <definedName name="AveParkingTime">'Buy a car'!$D$34</definedName>
    <definedName name="AverageTripsPerDay">Summary!$D$6</definedName>
    <definedName name="AveSurgeMultiplier">Rideshare!$D$9</definedName>
    <definedName name="AveTimePerTrip">Summary!$D$7</definedName>
    <definedName name="AveWaitTime">Rideshare!$D$16</definedName>
    <definedName name="BaseFare">Rideshare!$D$6</definedName>
    <definedName name="DistanceFare">Rideshare!$D$7</definedName>
    <definedName name="DownPayment">'Buy a car'!$D$9</definedName>
    <definedName name="FuelCost">'Buy a car'!$D$27</definedName>
    <definedName name="FuelEfficiency">'Buy a car'!$D$28</definedName>
    <definedName name="GarageExpenses">'Buy a car'!$D$22</definedName>
    <definedName name="GaragePropertyTax">'Buy a car'!$D$21</definedName>
    <definedName name="Insurance">'Buy a car'!$D$18</definedName>
    <definedName name="InterestRate">'Buy a car'!$D$11</definedName>
    <definedName name="LoanTerm">'Buy a car'!$D$10</definedName>
    <definedName name="MaintenanceAndRepairs">'Buy a car'!$D$17</definedName>
    <definedName name="Parking">'Buy a car'!$D$20</definedName>
    <definedName name="PercentRideDuringSurge">Rideshare!$D$10</definedName>
    <definedName name="PriceOfCar">'Buy a car'!$D$6</definedName>
    <definedName name="ProductivePercent">Rideshare!$D$17</definedName>
    <definedName name="PurchaseFees">'Buy a car'!$D$8</definedName>
    <definedName name="RatePerHour">Summary!$D$13</definedName>
    <definedName name="RegistrationAndTaxes">'Buy a car'!$D$19</definedName>
    <definedName name="SalesTax">'Buy a car'!$D$7</definedName>
    <definedName name="TimeFare">Rideshare!$D$8</definedName>
    <definedName name="TotalMileage">Summary!$D$9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4" l="1"/>
  <c r="C19" i="4" s="1"/>
  <c r="D11" i="4"/>
  <c r="C12" i="4" s="1"/>
  <c r="D9" i="1"/>
  <c r="D29" i="3" s="1"/>
  <c r="D35" i="3"/>
  <c r="D21" i="1" s="1"/>
  <c r="D12" i="3"/>
  <c r="C13" i="3" s="1"/>
  <c r="D23" i="3"/>
  <c r="D18" i="1" s="1"/>
  <c r="E21" i="1" l="1"/>
  <c r="D17" i="1"/>
  <c r="C36" i="3"/>
  <c r="E20" i="1"/>
  <c r="E22" i="1" s="1"/>
  <c r="D19" i="1"/>
  <c r="C30" i="3"/>
  <c r="D22" i="1" l="1"/>
</calcChain>
</file>

<file path=xl/sharedStrings.xml><?xml version="1.0" encoding="utf-8"?>
<sst xmlns="http://schemas.openxmlformats.org/spreadsheetml/2006/main" count="108" uniqueCount="65">
  <si>
    <t>Buy a car vs. rideshare</t>
  </si>
  <si>
    <r>
      <rPr>
        <b/>
        <sz val="16"/>
        <color theme="7" tint="-0.499984740745262"/>
        <rFont val="Tahoma"/>
        <family val="2"/>
        <scheme val="major"/>
      </rPr>
      <t>A</t>
    </r>
    <r>
      <rPr>
        <b/>
        <sz val="16"/>
        <color theme="3" tint="-0.499984740745262"/>
        <rFont val="Tahoma"/>
        <family val="2"/>
        <scheme val="major"/>
      </rPr>
      <t>verage travel</t>
    </r>
  </si>
  <si>
    <t>Column1</t>
  </si>
  <si>
    <t>Column2</t>
  </si>
  <si>
    <t>Column3</t>
  </si>
  <si>
    <t>Column4</t>
  </si>
  <si>
    <t>Average trips per day</t>
  </si>
  <si>
    <t>Average time for each trip</t>
  </si>
  <si>
    <t>min(s)</t>
  </si>
  <si>
    <t>Average distance for each trip</t>
  </si>
  <si>
    <t>miles</t>
  </si>
  <si>
    <t>Annual mileage</t>
  </si>
  <si>
    <t>Cost of time</t>
  </si>
  <si>
    <t>Rate per hour</t>
  </si>
  <si>
    <t>Annual cost summary</t>
  </si>
  <si>
    <t xml:space="preserve"> </t>
  </si>
  <si>
    <t>Buy a car</t>
  </si>
  <si>
    <t>Rideshare</t>
  </si>
  <si>
    <t>Purchase cost</t>
  </si>
  <si>
    <t>-</t>
  </si>
  <si>
    <t>Car usage costs</t>
  </si>
  <si>
    <t>Fuel costs</t>
  </si>
  <si>
    <t>Fare cost</t>
  </si>
  <si>
    <t>Total annual cost</t>
  </si>
  <si>
    <t>Activity</t>
  </si>
  <si>
    <t>Cost</t>
  </si>
  <si>
    <t>Terms</t>
  </si>
  <si>
    <t>Price of car</t>
  </si>
  <si>
    <t>Sales tax</t>
  </si>
  <si>
    <t>Purchase fees</t>
  </si>
  <si>
    <t>Down payment</t>
  </si>
  <si>
    <t>months</t>
  </si>
  <si>
    <t>Loan term</t>
  </si>
  <si>
    <t>Interest rate</t>
  </si>
  <si>
    <t>Annual purchase cost</t>
  </si>
  <si>
    <t>Maintenance &amp; repairs</t>
  </si>
  <si>
    <t>per year</t>
  </si>
  <si>
    <t>Insurance</t>
  </si>
  <si>
    <t>Registration &amp; taxes</t>
  </si>
  <si>
    <t>Parking</t>
  </si>
  <si>
    <t>Property tax on garage</t>
  </si>
  <si>
    <t>Other garage expenses</t>
  </si>
  <si>
    <t>Annual usage cost</t>
  </si>
  <si>
    <t>Unit</t>
  </si>
  <si>
    <t>Fuel cost</t>
  </si>
  <si>
    <t>per gallon</t>
  </si>
  <si>
    <t>Fuel efficiency</t>
  </si>
  <si>
    <t>miles / gal</t>
  </si>
  <si>
    <t>Annual fuel cost</t>
  </si>
  <si>
    <t>Average parking time</t>
  </si>
  <si>
    <t>mins</t>
  </si>
  <si>
    <t>Annual cost of time</t>
  </si>
  <si>
    <t>Rideshare fare</t>
  </si>
  <si>
    <t>Costs/Percent</t>
  </si>
  <si>
    <t>Base fare</t>
  </si>
  <si>
    <t>per ride</t>
  </si>
  <si>
    <t>Distance fare</t>
  </si>
  <si>
    <t>per mile</t>
  </si>
  <si>
    <t>Time fare</t>
  </si>
  <si>
    <t>per min</t>
  </si>
  <si>
    <t>Average surge multiplier</t>
  </si>
  <si>
    <t>Percent of rides during surge</t>
  </si>
  <si>
    <t>Annual fare cost</t>
  </si>
  <si>
    <t>Average wait time per trip</t>
  </si>
  <si>
    <t>Productive time during 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</si>
</sst>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_);_(@_)"/>
    <numFmt numFmtId="165" formatCode="&quot;$&quot;#,##0.00"/>
    <numFmt numFmtId="166" formatCode="&quot;$&quot;#,##0"/>
  </numFmts>
  <fonts count="29">
    <font>
      <sz val="1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ahoma"/>
      <family val="2"/>
      <scheme val="major"/>
    </font>
    <font>
      <sz val="12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6"/>
      <color theme="0"/>
      <name val="Tahoma"/>
      <family val="2"/>
      <scheme val="minor"/>
    </font>
    <font>
      <sz val="1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4"/>
      <color theme="0"/>
      <name val="Tahoma"/>
      <family val="2"/>
      <scheme val="minor"/>
    </font>
    <font>
      <b/>
      <sz val="11"/>
      <color theme="5"/>
      <name val="Tahoma"/>
      <family val="2"/>
      <scheme val="minor"/>
    </font>
    <font>
      <sz val="14"/>
      <color theme="1"/>
      <name val="Tahoma"/>
      <family val="2"/>
      <scheme val="minor"/>
    </font>
    <font>
      <b/>
      <sz val="18"/>
      <color theme="0"/>
      <name val="Tahoma"/>
      <family val="2"/>
      <scheme val="major"/>
    </font>
    <font>
      <b/>
      <sz val="15"/>
      <color theme="6" tint="-0.499984740745262"/>
      <name val="Tahoma"/>
      <family val="2"/>
      <scheme val="minor"/>
    </font>
    <font>
      <b/>
      <sz val="36"/>
      <color theme="0"/>
      <name val="Tahoma"/>
      <family val="2"/>
      <scheme val="major"/>
    </font>
    <font>
      <b/>
      <sz val="36"/>
      <color theme="0"/>
      <name val="Tahoma (Headings)"/>
    </font>
    <font>
      <b/>
      <sz val="16"/>
      <color theme="3" tint="-0.499984740745262"/>
      <name val="Tahoma"/>
      <family val="2"/>
      <scheme val="minor"/>
    </font>
    <font>
      <b/>
      <sz val="11"/>
      <color theme="3" tint="-0.499984740745262"/>
      <name val="Tahoma"/>
      <family val="2"/>
      <scheme val="minor"/>
    </font>
    <font>
      <sz val="11"/>
      <color theme="3" tint="-0.499984740745262"/>
      <name val="Tahoma"/>
      <family val="2"/>
      <scheme val="minor"/>
    </font>
    <font>
      <sz val="11"/>
      <color theme="4" tint="0.79998168889431442"/>
      <name val="Tahoma"/>
      <family val="2"/>
      <scheme val="minor"/>
    </font>
    <font>
      <b/>
      <sz val="11"/>
      <color theme="4" tint="0.79998168889431442"/>
      <name val="Tahoma"/>
      <family val="2"/>
      <scheme val="minor"/>
    </font>
    <font>
      <b/>
      <sz val="36"/>
      <color theme="7" tint="-0.499984740745262"/>
      <name val="Tahoma"/>
      <family val="2"/>
      <scheme val="major"/>
    </font>
    <font>
      <b/>
      <sz val="16"/>
      <color theme="3" tint="-0.499984740745262"/>
      <name val="Tahoma"/>
      <family val="2"/>
      <scheme val="major"/>
    </font>
    <font>
      <b/>
      <sz val="16"/>
      <color theme="7" tint="-0.499984740745262"/>
      <name val="Tahoma"/>
      <family val="2"/>
      <scheme val="major"/>
    </font>
    <font>
      <b/>
      <sz val="11"/>
      <color theme="3" tint="-0.499984740745262"/>
      <name val="Tahoma"/>
      <family val="2"/>
      <scheme val="major"/>
    </font>
    <font>
      <sz val="11"/>
      <color theme="5" tint="0.59999389629810485"/>
      <name val="Tahoma"/>
      <family val="2"/>
      <scheme val="minor"/>
    </font>
    <font>
      <sz val="11"/>
      <color theme="3" tint="-0.499984740745262"/>
      <name val="Tahoma"/>
      <family val="2"/>
      <scheme val="major"/>
    </font>
    <font>
      <sz val="11"/>
      <color theme="4" tint="0.79998168889431442"/>
      <name val="Tahoma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theme="7"/>
      </bottom>
      <diagonal/>
    </border>
    <border>
      <left style="thin">
        <color theme="0"/>
      </left>
      <right/>
      <top/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0"/>
      </right>
      <top/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4"/>
      </bottom>
      <diagonal/>
    </border>
    <border>
      <left style="thin">
        <color theme="0"/>
      </left>
      <right/>
      <top/>
      <bottom style="thin">
        <color theme="4"/>
      </bottom>
      <diagonal/>
    </border>
    <border>
      <left/>
      <right/>
      <top/>
      <bottom style="medium">
        <color theme="3"/>
      </bottom>
      <diagonal/>
    </border>
    <border>
      <left/>
      <right/>
      <top style="thick">
        <color theme="0"/>
      </top>
      <bottom style="medium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3">
    <xf numFmtId="165" fontId="0" fillId="0" borderId="0" applyFill="0" applyBorder="0" applyProtection="0">
      <alignment horizontal="center" vertical="center"/>
    </xf>
    <xf numFmtId="0" fontId="6" fillId="2" borderId="0" applyNumberFormat="0" applyFont="0" applyBorder="0" applyAlignment="0" applyProtection="0"/>
    <xf numFmtId="0" fontId="6" fillId="3" borderId="0" applyNumberFormat="0" applyFont="0" applyBorder="0" applyAlignment="0" applyProtection="0"/>
    <xf numFmtId="0" fontId="7" fillId="3" borderId="1" applyFont="0" applyFill="0" applyBorder="0" applyAlignment="0">
      <alignment vertical="center"/>
    </xf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9" fillId="0" borderId="0">
      <alignment horizontal="left" vertical="center"/>
    </xf>
    <xf numFmtId="164" fontId="1" fillId="0" borderId="0" applyFont="0" applyFill="0" applyBorder="0" applyProtection="0">
      <alignment horizontal="center" vertical="center"/>
    </xf>
    <xf numFmtId="164" fontId="1" fillId="0" borderId="0" applyFont="0" applyFill="0" applyBorder="0" applyProtection="0">
      <alignment horizontal="center" vertical="center"/>
    </xf>
    <xf numFmtId="9" fontId="5" fillId="0" borderId="0" applyFont="0" applyFill="0" applyBorder="0" applyAlignment="0" applyProtection="0"/>
    <xf numFmtId="0" fontId="13" fillId="6" borderId="0" applyNumberFormat="0" applyBorder="0" applyProtection="0">
      <alignment vertical="center"/>
    </xf>
    <xf numFmtId="0" fontId="14" fillId="0" borderId="2" applyNumberFormat="0" applyFill="0" applyProtection="0">
      <alignment horizontal="left" vertical="center"/>
    </xf>
    <xf numFmtId="0" fontId="8" fillId="0" borderId="0" applyNumberFormat="0" applyFill="0" applyBorder="0" applyProtection="0">
      <alignment horizontal="left" vertical="center" indent="1"/>
    </xf>
  </cellStyleXfs>
  <cellXfs count="89">
    <xf numFmtId="165" fontId="0" fillId="0" borderId="0" xfId="0">
      <alignment horizontal="center" vertical="center"/>
    </xf>
    <xf numFmtId="165" fontId="3" fillId="0" borderId="0" xfId="0" applyFont="1">
      <alignment horizontal="center" vertical="center"/>
    </xf>
    <xf numFmtId="165" fontId="3" fillId="0" borderId="0" xfId="0" applyFont="1" applyAlignment="1">
      <alignment horizontal="center"/>
    </xf>
    <xf numFmtId="165" fontId="3" fillId="0" borderId="0" xfId="0" applyFont="1" applyAlignment="1">
      <alignment vertical="center"/>
    </xf>
    <xf numFmtId="165" fontId="4" fillId="0" borderId="0" xfId="0" applyFont="1" applyAlignment="1">
      <alignment vertical="center"/>
    </xf>
    <xf numFmtId="165" fontId="2" fillId="0" borderId="0" xfId="0" applyFont="1">
      <alignment horizontal="center" vertical="center"/>
    </xf>
    <xf numFmtId="165" fontId="10" fillId="0" borderId="0" xfId="0" applyFont="1">
      <alignment horizontal="center" vertical="center"/>
    </xf>
    <xf numFmtId="165" fontId="11" fillId="0" borderId="0" xfId="0" applyFont="1">
      <alignment horizontal="center" vertical="center"/>
    </xf>
    <xf numFmtId="165" fontId="12" fillId="0" borderId="0" xfId="0" applyFont="1">
      <alignment horizontal="center" vertical="center"/>
    </xf>
    <xf numFmtId="165" fontId="15" fillId="8" borderId="0" xfId="10" applyNumberFormat="1" applyFont="1" applyFill="1">
      <alignment vertical="center"/>
    </xf>
    <xf numFmtId="165" fontId="13" fillId="8" borderId="0" xfId="10" applyNumberFormat="1" applyFill="1">
      <alignment vertical="center"/>
    </xf>
    <xf numFmtId="165" fontId="3" fillId="8" borderId="0" xfId="0" applyFont="1" applyFill="1" applyAlignment="1">
      <alignment vertical="center"/>
    </xf>
    <xf numFmtId="0" fontId="6" fillId="8" borderId="0" xfId="5" applyFill="1" applyAlignment="1">
      <alignment vertical="center"/>
    </xf>
    <xf numFmtId="165" fontId="19" fillId="0" borderId="0" xfId="0" applyFont="1">
      <alignment horizontal="center" vertical="center"/>
    </xf>
    <xf numFmtId="165" fontId="19" fillId="0" borderId="0" xfId="12" applyNumberFormat="1" applyFont="1">
      <alignment horizontal="left" vertical="center" indent="1"/>
    </xf>
    <xf numFmtId="0" fontId="19" fillId="0" borderId="0" xfId="0" applyNumberFormat="1" applyFont="1" applyAlignment="1">
      <alignment horizontal="right" vertical="center" indent="1"/>
    </xf>
    <xf numFmtId="165" fontId="19" fillId="0" borderId="0" xfId="12" applyNumberFormat="1" applyFont="1" applyAlignment="1">
      <alignment horizontal="right" vertical="center" indent="1"/>
    </xf>
    <xf numFmtId="2" fontId="19" fillId="0" borderId="0" xfId="0" applyNumberFormat="1" applyFont="1" applyAlignment="1">
      <alignment horizontal="right" vertical="center" indent="1"/>
    </xf>
    <xf numFmtId="3" fontId="19" fillId="0" borderId="0" xfId="0" applyNumberFormat="1" applyFont="1" applyAlignment="1">
      <alignment horizontal="right" vertical="center" indent="1"/>
    </xf>
    <xf numFmtId="165" fontId="19" fillId="4" borderId="0" xfId="0" applyFont="1" applyFill="1" applyAlignment="1">
      <alignment horizontal="left" vertical="center" indent="1"/>
    </xf>
    <xf numFmtId="165" fontId="19" fillId="4" borderId="3" xfId="0" applyFont="1" applyFill="1" applyBorder="1" applyAlignment="1">
      <alignment horizontal="right" vertical="center" indent="2"/>
    </xf>
    <xf numFmtId="165" fontId="19" fillId="4" borderId="0" xfId="0" applyFont="1" applyFill="1" applyAlignment="1">
      <alignment horizontal="right" vertical="center" indent="2"/>
    </xf>
    <xf numFmtId="0" fontId="19" fillId="0" borderId="0" xfId="4" applyFont="1" applyFill="1" applyAlignment="1">
      <alignment vertical="center"/>
    </xf>
    <xf numFmtId="0" fontId="19" fillId="0" borderId="0" xfId="4" applyFont="1" applyFill="1" applyAlignment="1">
      <alignment horizontal="left" vertical="center" indent="1"/>
    </xf>
    <xf numFmtId="165" fontId="19" fillId="0" borderId="0" xfId="4" applyNumberFormat="1" applyFont="1" applyFill="1" applyAlignment="1">
      <alignment horizontal="right" vertical="center" indent="1"/>
    </xf>
    <xf numFmtId="0" fontId="19" fillId="0" borderId="0" xfId="4" applyFont="1" applyFill="1" applyAlignment="1">
      <alignment horizontal="right" vertical="center" indent="1"/>
    </xf>
    <xf numFmtId="165" fontId="19" fillId="7" borderId="0" xfId="0" applyFont="1" applyFill="1">
      <alignment horizontal="center" vertical="center"/>
    </xf>
    <xf numFmtId="165" fontId="19" fillId="7" borderId="0" xfId="0" applyFont="1" applyFill="1" applyAlignment="1">
      <alignment horizontal="right" vertical="center" indent="2"/>
    </xf>
    <xf numFmtId="166" fontId="19" fillId="0" borderId="0" xfId="0" applyNumberFormat="1" applyFont="1" applyAlignment="1">
      <alignment horizontal="right" vertical="center" indent="1"/>
    </xf>
    <xf numFmtId="0" fontId="19" fillId="0" borderId="0" xfId="0" applyNumberFormat="1" applyFont="1">
      <alignment horizontal="center" vertical="center"/>
    </xf>
    <xf numFmtId="0" fontId="18" fillId="0" borderId="0" xfId="6" applyFont="1" applyAlignment="1">
      <alignment horizontal="left" vertical="center" indent="1"/>
    </xf>
    <xf numFmtId="165" fontId="19" fillId="0" borderId="0" xfId="0" applyFont="1" applyAlignment="1">
      <alignment horizontal="right" vertical="center" indent="1"/>
    </xf>
    <xf numFmtId="165" fontId="19" fillId="8" borderId="0" xfId="0" applyFont="1" applyFill="1">
      <alignment horizontal="center" vertical="center"/>
    </xf>
    <xf numFmtId="165" fontId="19" fillId="8" borderId="0" xfId="12" applyNumberFormat="1" applyFont="1" applyFill="1">
      <alignment horizontal="left" vertical="center" indent="1"/>
    </xf>
    <xf numFmtId="165" fontId="19" fillId="8" borderId="0" xfId="0" applyFont="1" applyFill="1" applyAlignment="1">
      <alignment horizontal="right" vertical="center" indent="1"/>
    </xf>
    <xf numFmtId="165" fontId="19" fillId="8" borderId="0" xfId="12" applyNumberFormat="1" applyFont="1" applyFill="1" applyAlignment="1">
      <alignment horizontal="right" vertical="center" indent="1"/>
    </xf>
    <xf numFmtId="0" fontId="19" fillId="10" borderId="4" xfId="4" applyFont="1" applyFill="1" applyBorder="1" applyAlignment="1">
      <alignment vertical="center"/>
    </xf>
    <xf numFmtId="0" fontId="19" fillId="10" borderId="5" xfId="12" applyFont="1" applyFill="1" applyBorder="1">
      <alignment horizontal="left" vertical="center" indent="1"/>
    </xf>
    <xf numFmtId="0" fontId="19" fillId="10" borderId="5" xfId="4" applyFont="1" applyFill="1" applyBorder="1" applyAlignment="1">
      <alignment horizontal="right" vertical="center" indent="1"/>
    </xf>
    <xf numFmtId="0" fontId="19" fillId="10" borderId="6" xfId="4" applyFont="1" applyFill="1" applyBorder="1" applyAlignment="1">
      <alignment horizontal="right" vertical="center" indent="1"/>
    </xf>
    <xf numFmtId="165" fontId="19" fillId="10" borderId="4" xfId="0" applyFont="1" applyFill="1" applyBorder="1">
      <alignment horizontal="center" vertical="center"/>
    </xf>
    <xf numFmtId="165" fontId="19" fillId="10" borderId="5" xfId="0" applyFont="1" applyFill="1" applyBorder="1" applyAlignment="1">
      <alignment horizontal="left" vertical="center" indent="1"/>
    </xf>
    <xf numFmtId="165" fontId="19" fillId="10" borderId="5" xfId="0" applyFont="1" applyFill="1" applyBorder="1" applyAlignment="1">
      <alignment horizontal="right" vertical="center" indent="1"/>
    </xf>
    <xf numFmtId="165" fontId="19" fillId="10" borderId="6" xfId="0" applyFont="1" applyFill="1" applyBorder="1" applyAlignment="1">
      <alignment horizontal="right" vertical="center" indent="1"/>
    </xf>
    <xf numFmtId="0" fontId="19" fillId="0" borderId="0" xfId="12" applyFont="1" applyAlignment="1">
      <alignment horizontal="right" vertical="center" indent="1"/>
    </xf>
    <xf numFmtId="0" fontId="19" fillId="10" borderId="5" xfId="4" applyFont="1" applyFill="1" applyBorder="1" applyAlignment="1">
      <alignment horizontal="left" vertical="center" indent="1"/>
    </xf>
    <xf numFmtId="0" fontId="19" fillId="10" borderId="6" xfId="4" applyFont="1" applyFill="1" applyBorder="1" applyAlignment="1">
      <alignment horizontal="left" vertical="center" indent="1"/>
    </xf>
    <xf numFmtId="165" fontId="19" fillId="0" borderId="0" xfId="0" applyFont="1" applyBorder="1">
      <alignment horizontal="center" vertical="center"/>
    </xf>
    <xf numFmtId="165" fontId="19" fillId="0" borderId="0" xfId="12" applyNumberFormat="1" applyFont="1" applyBorder="1">
      <alignment horizontal="left" vertical="center" indent="1"/>
    </xf>
    <xf numFmtId="165" fontId="19" fillId="0" borderId="0" xfId="0" applyFont="1" applyBorder="1" applyAlignment="1">
      <alignment horizontal="right" vertical="center" indent="1"/>
    </xf>
    <xf numFmtId="165" fontId="19" fillId="0" borderId="0" xfId="12" applyNumberFormat="1" applyFont="1" applyBorder="1" applyAlignment="1">
      <alignment horizontal="right" vertical="center" indent="1"/>
    </xf>
    <xf numFmtId="2" fontId="19" fillId="0" borderId="0" xfId="0" applyNumberFormat="1" applyFont="1" applyBorder="1" applyAlignment="1">
      <alignment horizontal="right" vertical="center" indent="1"/>
    </xf>
    <xf numFmtId="9" fontId="19" fillId="0" borderId="0" xfId="9" applyFont="1" applyBorder="1" applyAlignment="1">
      <alignment horizontal="right" vertical="center" indent="1"/>
    </xf>
    <xf numFmtId="0" fontId="19" fillId="0" borderId="0" xfId="0" applyNumberFormat="1" applyFont="1" applyBorder="1">
      <alignment horizontal="center" vertical="center"/>
    </xf>
    <xf numFmtId="0" fontId="19" fillId="0" borderId="0" xfId="0" applyNumberFormat="1" applyFont="1" applyBorder="1" applyAlignment="1">
      <alignment horizontal="right" vertical="center" indent="1"/>
    </xf>
    <xf numFmtId="0" fontId="19" fillId="10" borderId="0" xfId="4" applyFont="1" applyFill="1" applyBorder="1" applyAlignment="1">
      <alignment vertical="center"/>
    </xf>
    <xf numFmtId="0" fontId="19" fillId="10" borderId="0" xfId="4" applyFont="1" applyFill="1" applyBorder="1" applyAlignment="1">
      <alignment horizontal="left" vertical="center" indent="1"/>
    </xf>
    <xf numFmtId="0" fontId="19" fillId="10" borderId="0" xfId="4" applyFont="1" applyFill="1" applyBorder="1" applyAlignment="1">
      <alignment horizontal="right" vertical="center" indent="1"/>
    </xf>
    <xf numFmtId="165" fontId="20" fillId="7" borderId="0" xfId="0" applyFont="1" applyFill="1" applyAlignment="1">
      <alignment horizontal="left" vertical="center"/>
    </xf>
    <xf numFmtId="165" fontId="20" fillId="4" borderId="0" xfId="0" applyFont="1" applyFill="1" applyAlignment="1">
      <alignment vertical="center"/>
    </xf>
    <xf numFmtId="165" fontId="21" fillId="4" borderId="8" xfId="0" applyFont="1" applyFill="1" applyBorder="1" applyAlignment="1">
      <alignment vertical="center"/>
    </xf>
    <xf numFmtId="165" fontId="15" fillId="0" borderId="0" xfId="10" applyNumberFormat="1" applyFont="1" applyFill="1">
      <alignment vertical="center"/>
    </xf>
    <xf numFmtId="165" fontId="22" fillId="0" borderId="0" xfId="10" applyNumberFormat="1" applyFont="1" applyFill="1" applyBorder="1" applyAlignment="1">
      <alignment horizontal="center" vertical="center"/>
    </xf>
    <xf numFmtId="165" fontId="16" fillId="0" borderId="0" xfId="10" applyNumberFormat="1" applyFont="1" applyFill="1" applyBorder="1" applyAlignment="1">
      <alignment horizontal="center" vertical="center"/>
    </xf>
    <xf numFmtId="165" fontId="13" fillId="0" borderId="0" xfId="10" applyNumberFormat="1" applyFill="1">
      <alignment vertical="center"/>
    </xf>
    <xf numFmtId="165" fontId="25" fillId="4" borderId="9" xfId="0" applyFont="1" applyFill="1" applyBorder="1" applyAlignment="1">
      <alignment horizontal="left" vertical="center" indent="1"/>
    </xf>
    <xf numFmtId="165" fontId="25" fillId="4" borderId="10" xfId="0" applyFont="1" applyFill="1" applyBorder="1" applyAlignment="1">
      <alignment horizontal="right" vertical="center" indent="2"/>
    </xf>
    <xf numFmtId="165" fontId="25" fillId="4" borderId="11" xfId="0" applyFont="1" applyFill="1" applyBorder="1" applyAlignment="1">
      <alignment horizontal="right" vertical="center" indent="2"/>
    </xf>
    <xf numFmtId="165" fontId="26" fillId="7" borderId="0" xfId="0" applyFont="1" applyFill="1" applyAlignment="1">
      <alignment horizontal="left" vertical="center" indent="1"/>
    </xf>
    <xf numFmtId="165" fontId="27" fillId="7" borderId="0" xfId="0" applyFont="1" applyFill="1" applyAlignment="1">
      <alignment horizontal="left" vertical="center" indent="1"/>
    </xf>
    <xf numFmtId="165" fontId="27" fillId="7" borderId="0" xfId="0" applyFont="1" applyFill="1" applyAlignment="1">
      <alignment horizontal="right" vertical="center" indent="2"/>
    </xf>
    <xf numFmtId="165" fontId="27" fillId="4" borderId="0" xfId="0" applyFont="1" applyFill="1" applyAlignment="1">
      <alignment horizontal="left" vertical="center" indent="1"/>
    </xf>
    <xf numFmtId="166" fontId="27" fillId="4" borderId="0" xfId="0" applyNumberFormat="1" applyFont="1" applyFill="1" applyAlignment="1">
      <alignment horizontal="right" vertical="center" indent="2"/>
    </xf>
    <xf numFmtId="165" fontId="27" fillId="4" borderId="0" xfId="0" applyFont="1" applyFill="1" applyAlignment="1">
      <alignment horizontal="right" vertical="center" indent="2"/>
    </xf>
    <xf numFmtId="165" fontId="28" fillId="7" borderId="0" xfId="0" applyFont="1" applyFill="1" applyAlignment="1">
      <alignment horizontal="left" vertical="center"/>
    </xf>
    <xf numFmtId="165" fontId="28" fillId="7" borderId="0" xfId="0" applyFont="1" applyFill="1" applyBorder="1" applyAlignment="1">
      <alignment horizontal="left" vertical="center"/>
    </xf>
    <xf numFmtId="165" fontId="25" fillId="7" borderId="0" xfId="0" applyFont="1" applyFill="1" applyBorder="1" applyAlignment="1">
      <alignment horizontal="left" vertical="center" indent="1"/>
    </xf>
    <xf numFmtId="165" fontId="25" fillId="7" borderId="0" xfId="0" applyFont="1" applyFill="1" applyBorder="1" applyAlignment="1">
      <alignment horizontal="right" vertical="center" indent="2"/>
    </xf>
    <xf numFmtId="165" fontId="27" fillId="7" borderId="0" xfId="0" applyFont="1" applyFill="1" applyBorder="1" applyAlignment="1">
      <alignment horizontal="left" vertical="center" indent="1"/>
    </xf>
    <xf numFmtId="165" fontId="27" fillId="7" borderId="0" xfId="0" applyFont="1" applyFill="1" applyBorder="1" applyAlignment="1">
      <alignment horizontal="right" vertical="center" indent="2"/>
    </xf>
    <xf numFmtId="165" fontId="27" fillId="0" borderId="0" xfId="0" applyFont="1" applyFill="1" applyAlignment="1">
      <alignment horizontal="left" vertical="center" indent="1"/>
    </xf>
    <xf numFmtId="165" fontId="22" fillId="6" borderId="14" xfId="10" applyNumberFormat="1" applyFont="1" applyBorder="1" applyAlignment="1">
      <alignment horizontal="center" vertical="center"/>
    </xf>
    <xf numFmtId="165" fontId="23" fillId="9" borderId="13" xfId="11" applyNumberFormat="1" applyFont="1" applyFill="1" applyBorder="1" applyAlignment="1">
      <alignment horizontal="center" vertical="center"/>
    </xf>
    <xf numFmtId="165" fontId="17" fillId="9" borderId="12" xfId="11" applyNumberFormat="1" applyFont="1" applyFill="1" applyBorder="1" applyAlignment="1">
      <alignment horizontal="center" vertical="center"/>
    </xf>
    <xf numFmtId="165" fontId="23" fillId="9" borderId="12" xfId="11" applyNumberFormat="1" applyFont="1" applyFill="1" applyBorder="1" applyAlignment="1">
      <alignment horizontal="center" vertical="center"/>
    </xf>
    <xf numFmtId="165" fontId="23" fillId="9" borderId="2" xfId="11" applyNumberFormat="1" applyFont="1" applyFill="1" applyAlignment="1">
      <alignment horizontal="center" vertical="center"/>
    </xf>
    <xf numFmtId="165" fontId="15" fillId="12" borderId="0" xfId="10" applyNumberFormat="1" applyFont="1" applyFill="1" applyBorder="1" applyAlignment="1">
      <alignment horizontal="center" vertical="center"/>
    </xf>
    <xf numFmtId="165" fontId="15" fillId="11" borderId="7" xfId="10" applyNumberFormat="1" applyFont="1" applyFill="1" applyBorder="1" applyAlignment="1">
      <alignment horizontal="center" vertical="center"/>
    </xf>
    <xf numFmtId="165" fontId="23" fillId="9" borderId="0" xfId="11" applyNumberFormat="1" applyFont="1" applyFill="1" applyBorder="1" applyAlignment="1">
      <alignment horizontal="center" vertical="center"/>
    </xf>
  </cellXfs>
  <cellStyles count="13">
    <cellStyle name="20 % - Accent1" xfId="4" builtinId="30"/>
    <cellStyle name="Accent1" xfId="1" builtinId="29" customBuiltin="1"/>
    <cellStyle name="Accent2" xfId="2" builtinId="33" customBuiltin="1"/>
    <cellStyle name="Accent3" xfId="5" builtinId="37" customBuiltin="1"/>
    <cellStyle name="Entrée" xfId="12" builtinId="20" customBuiltin="1"/>
    <cellStyle name="Milliers" xfId="7" builtinId="3" customBuiltin="1"/>
    <cellStyle name="Milliers [0]" xfId="8" builtinId="6" customBuiltin="1"/>
    <cellStyle name="Normal" xfId="0" builtinId="0" customBuiltin="1"/>
    <cellStyle name="Pourcentage" xfId="9" builtinId="5"/>
    <cellStyle name="Style 1" xfId="6" xr:uid="{00000000-0005-0000-0000-000009000000}"/>
    <cellStyle name="Table Style 1" xfId="3" xr:uid="{00000000-0005-0000-0000-000012000000}"/>
    <cellStyle name="Titre" xfId="10" builtinId="15" customBuiltin="1"/>
    <cellStyle name="Titre 1" xfId="11" builtinId="16" customBuiltin="1"/>
  </cellStyles>
  <dxfs count="10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aj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alignment horizontal="righ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border outline="0">
        <top style="medium">
          <color theme="7"/>
        </top>
      </border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aj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border outline="0">
        <top style="medium">
          <color theme="7"/>
        </top>
      </border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aj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aj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166" formatCode="&quot;$&quot;#,##0"/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166" formatCode="&quot;$&quot;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numFmt numFmtId="166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numFmt numFmtId="166" formatCode="&quot;$&quot;#,##0"/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numFmt numFmtId="166" formatCode="&quot;$&quot;#,##0"/>
      <alignment horizontal="righ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numFmt numFmtId="165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theme="4"/>
        </bottom>
      </border>
    </dxf>
    <dxf>
      <font>
        <b/>
        <strike val="0"/>
        <outline val="0"/>
        <shadow val="0"/>
        <u val="none"/>
        <vertAlign val="baseline"/>
        <color theme="3" tint="-0.499984740745262"/>
        <name val="Tahoma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</font>
      <border>
        <top style="double">
          <color theme="5"/>
        </top>
      </border>
    </dxf>
    <dxf>
      <font>
        <b/>
        <i val="0"/>
      </font>
      <fill>
        <patternFill>
          <bgColor theme="4" tint="0.79998168889431442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  <dxf>
      <border>
        <top style="double">
          <color theme="5"/>
        </top>
      </border>
    </dxf>
    <dxf>
      <fill>
        <patternFill>
          <bgColor theme="4" tint="0.79998168889431442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6"/>
        </patternFill>
      </fill>
    </dxf>
  </dxfs>
  <tableStyles count="3" defaultTableStyle="TableStyleMedium2" defaultPivotStyle="PivotStyleLight16">
    <tableStyle name="Buy vs rideshare Table 1" pivot="0" count="2" xr9:uid="{00000000-0011-0000-FFFF-FFFF00000000}">
      <tableStyleElement type="totalRow" dxfId="99"/>
      <tableStyleElement type="firstRowStripe" dxfId="98"/>
    </tableStyle>
    <tableStyle name="PivotTable Style 1" table="0" count="3" xr9:uid="{E3F404F2-011A-E842-B520-642860C59EA9}">
      <tableStyleElement type="wholeTable" dxfId="97"/>
      <tableStyleElement type="headerRow" dxfId="96"/>
      <tableStyleElement type="firstSubtotalRow" dxfId="95"/>
    </tableStyle>
    <tableStyle name="Table Style 1" pivot="0" count="3" xr9:uid="{36058966-0EDD-974A-9022-F35F63ED4CA0}">
      <tableStyleElement type="wholeTable" dxfId="94"/>
      <tableStyleElement type="headerRow" dxfId="93"/>
      <tableStyleElement type="totalRow" dxfId="92"/>
    </tableStyle>
  </tableStyles>
  <colors>
    <mruColors>
      <color rgb="FF004A6D"/>
      <color rgb="FF02778B"/>
      <color rgb="FF00B0F0"/>
      <color rgb="FFD9D9D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600" b="1">
                <a:solidFill>
                  <a:schemeClr val="tx2">
                    <a:lumMod val="50000"/>
                  </a:schemeClr>
                </a:solidFill>
                <a:latin typeface="+mj-lt"/>
              </a:rPr>
              <a:t>Annual costs comparison</a:t>
            </a:r>
          </a:p>
        </c:rich>
      </c:tx>
      <c:layout>
        <c:manualLayout>
          <c:xMode val="edge"/>
          <c:yMode val="edge"/>
          <c:x val="0.31096736724096763"/>
          <c:y val="1.8292693252053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2">
                  <a:lumMod val="50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88934990910567"/>
          <c:y val="0.16559258615017527"/>
          <c:w val="0.82048124223992958"/>
          <c:h val="0.758146436705980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Summary!$C$17</c:f>
              <c:strCache>
                <c:ptCount val="1"/>
                <c:pt idx="0">
                  <c:v>Purchase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Summary!$D$17:$E$17</c:f>
              <c:numCache>
                <c:formatCode>"$"#\ ##0</c:formatCode>
                <c:ptCount val="2"/>
                <c:pt idx="0">
                  <c:v>7187.314844765674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B-43D9-A1A9-60DA0856FCA3}"/>
            </c:ext>
          </c:extLst>
        </c:ser>
        <c:ser>
          <c:idx val="2"/>
          <c:order val="1"/>
          <c:tx>
            <c:strRef>
              <c:f>Summary!$C$18</c:f>
              <c:strCache>
                <c:ptCount val="1"/>
                <c:pt idx="0">
                  <c:v>Car usage costs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Summary!$D$18:$E$18</c:f>
              <c:numCache>
                <c:formatCode>"$"#\ ##0</c:formatCode>
                <c:ptCount val="2"/>
                <c:pt idx="0">
                  <c:v>2990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8B-43D9-A1A9-60DA0856FCA3}"/>
            </c:ext>
          </c:extLst>
        </c:ser>
        <c:ser>
          <c:idx val="1"/>
          <c:order val="2"/>
          <c:tx>
            <c:strRef>
              <c:f>Summary!$C$19</c:f>
              <c:strCache>
                <c:ptCount val="1"/>
                <c:pt idx="0">
                  <c:v>Fuel costs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Summary!$D$19:$E$19</c:f>
              <c:numCache>
                <c:formatCode>"$"#\ ##0</c:formatCode>
                <c:ptCount val="2"/>
                <c:pt idx="0">
                  <c:v>617.69230769230762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B-43D9-A1A9-60DA0856FCA3}"/>
            </c:ext>
          </c:extLst>
        </c:ser>
        <c:ser>
          <c:idx val="3"/>
          <c:order val="3"/>
          <c:tx>
            <c:strRef>
              <c:f>Summary!$C$20</c:f>
              <c:strCache>
                <c:ptCount val="1"/>
                <c:pt idx="0">
                  <c:v>Fare cost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Summary!$D$20:$E$20</c:f>
              <c:numCache>
                <c:formatCode>"$"#\ ##0</c:formatCode>
                <c:ptCount val="2"/>
                <c:pt idx="0">
                  <c:v>0</c:v>
                </c:pt>
                <c:pt idx="1">
                  <c:v>12340.65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8B-43D9-A1A9-60DA0856FCA3}"/>
            </c:ext>
          </c:extLst>
        </c:ser>
        <c:ser>
          <c:idx val="4"/>
          <c:order val="4"/>
          <c:tx>
            <c:strRef>
              <c:f>Summary!$C$21</c:f>
              <c:strCache>
                <c:ptCount val="1"/>
                <c:pt idx="0">
                  <c:v>Cost of time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Summary!$D$21:$E$21</c:f>
              <c:numCache>
                <c:formatCode>"$"#\ ##0</c:formatCode>
                <c:ptCount val="2"/>
                <c:pt idx="0">
                  <c:v>7300</c:v>
                </c:pt>
                <c:pt idx="1">
                  <c:v>2190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8B-43D9-A1A9-60DA0856F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-28058208"/>
        <c:axId val="-28054944"/>
      </c:barChart>
      <c:lineChart>
        <c:grouping val="standard"/>
        <c:varyColors val="0"/>
        <c:ser>
          <c:idx val="5"/>
          <c:order val="5"/>
          <c:tx>
            <c:strRef>
              <c:f>Summary!#REF!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Summary!$D$16:$E$16</c:f>
              <c:strCache>
                <c:ptCount val="2"/>
                <c:pt idx="0">
                  <c:v>Buy a car</c:v>
                </c:pt>
                <c:pt idx="1">
                  <c:v>Rideshare</c:v>
                </c:pt>
              </c:strCache>
            </c:strRef>
          </c:cat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98-4219-9C11-23E097873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8058208"/>
        <c:axId val="-28054944"/>
      </c:lineChart>
      <c:catAx>
        <c:axId val="-2805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054944"/>
        <c:crosses val="autoZero"/>
        <c:auto val="1"/>
        <c:lblAlgn val="ctr"/>
        <c:lblOffset val="100"/>
        <c:noMultiLvlLbl val="0"/>
      </c:catAx>
      <c:valAx>
        <c:axId val="-2805494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75000"/>
                  <a:alpha val="25000"/>
                </a:schemeClr>
              </a:solidFill>
              <a:round/>
            </a:ln>
            <a:effectLst/>
          </c:spPr>
        </c:majorGridlines>
        <c:numFmt formatCode="&quot;$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05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2.343292758081408E-2"/>
          <c:y val="9.068866570114438E-2"/>
          <c:w val="0.88372763037208324"/>
          <c:h val="4.2680508550901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3</xdr:row>
      <xdr:rowOff>12700</xdr:rowOff>
    </xdr:from>
    <xdr:to>
      <xdr:col>13</xdr:col>
      <xdr:colOff>749300</xdr:colOff>
      <xdr:row>23</xdr:row>
      <xdr:rowOff>175260</xdr:rowOff>
    </xdr:to>
    <xdr:graphicFrame macro="">
      <xdr:nvGraphicFramePr>
        <xdr:cNvPr id="3" name="Chart 1" descr="Annual costs compariso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F9E44A-B36F-4EED-BA01-4AB10CFD8E8B}" name="Table5" displayName="Table5" ref="B5:E9" totalsRowShown="0" headerRowDxfId="91" dataDxfId="89" headerRowBorderDxfId="90" headerRowCellStyle="Normal" dataCellStyle="Normal">
  <autoFilter ref="B5:E9" xr:uid="{33A52213-A801-47DE-8C22-41E2317EB6CF}">
    <filterColumn colId="0" hiddenButton="1"/>
    <filterColumn colId="1" hiddenButton="1"/>
    <filterColumn colId="2" hiddenButton="1"/>
    <filterColumn colId="3" hiddenButton="1"/>
  </autoFilter>
  <tableColumns count="4">
    <tableColumn id="1" xr3:uid="{CD117C9C-C887-470F-A061-CA9173CBF4F9}" name="Column1" dataDxfId="88" dataCellStyle="Normal"/>
    <tableColumn id="2" xr3:uid="{E757292C-C084-4854-A08C-E9D0DF4E2C1B}" name="Column2" dataDxfId="87"/>
    <tableColumn id="3" xr3:uid="{F269147F-FC3A-424A-8710-C771370E9458}" name="Column3" dataDxfId="86" dataCellStyle="Normal"/>
    <tableColumn id="4" xr3:uid="{31E2E428-84F1-479D-B359-64E6ADBA547D}" name="Column4" dataDxfId="85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B37EB5-B6AC-4DA6-9AB7-26C0FCCB06A8}" name="Table6" displayName="Table6" ref="B12:E13" totalsRowShown="0" headerRowDxfId="84" dataDxfId="83">
  <autoFilter ref="B12:E13" xr:uid="{329B791D-22C6-44C2-8A7E-F39161CF9DF4}">
    <filterColumn colId="0" hiddenButton="1"/>
    <filterColumn colId="1" hiddenButton="1"/>
    <filterColumn colId="2" hiddenButton="1"/>
    <filterColumn colId="3" hiddenButton="1"/>
  </autoFilter>
  <tableColumns count="4">
    <tableColumn id="1" xr3:uid="{476B6397-6D0F-4807-905E-B20A2CD4B19C}" name="Column1" dataDxfId="82"/>
    <tableColumn id="2" xr3:uid="{CB01D84B-AFB9-4EA0-A074-0487281D7ADC}" name="Column2" dataDxfId="81"/>
    <tableColumn id="3" xr3:uid="{7D4631CC-F098-49DA-BD37-2F9572073834}" name="Column3" dataDxfId="80"/>
    <tableColumn id="4" xr3:uid="{1396062D-7128-4DA8-AB4F-8206D669FB89}" name="Column4" dataDxfId="79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38A61D-5135-4243-AA4E-A9A14F93BD6A}" name="Table7" displayName="Table7" ref="B16:E22" totalsRowCount="1" headerRowDxfId="78" dataDxfId="77" totalsRowDxfId="76">
  <autoFilter ref="B16:E21" xr:uid="{458716D4-3F94-4AD0-BAC7-D11BD3DA67A4}">
    <filterColumn colId="0" hiddenButton="1"/>
    <filterColumn colId="1" hiddenButton="1"/>
    <filterColumn colId="2" hiddenButton="1"/>
    <filterColumn colId="3" hiddenButton="1"/>
  </autoFilter>
  <tableColumns count="4">
    <tableColumn id="1" xr3:uid="{0F4BC013-263B-4612-9C46-47FDBF95BC58}" name=" " dataDxfId="75" totalsRowDxfId="74"/>
    <tableColumn id="2" xr3:uid="{89ED0BC0-F0A9-409E-956E-8F7BF697E8D5}" name="Column1" totalsRowLabel="Total annual cost" dataDxfId="73" totalsRowDxfId="72" totalsRowCellStyle="Style 1"/>
    <tableColumn id="3" xr3:uid="{B43C2BD8-64EC-430C-9ED1-381A7F4B8E57}" name="Buy a car" totalsRowFunction="sum" dataDxfId="71" totalsRowDxfId="70" dataCellStyle="Normal"/>
    <tableColumn id="4" xr3:uid="{8D2FF47E-B061-4F3A-8B8F-4F65BDE10EE6}" name="Rideshare" totalsRowFunction="sum" dataDxfId="69" totalsRowDxfId="68" dataCellStyle="Normal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F972F3-31B9-46B4-9028-D59885866486}" name="Table3" displayName="Table3" ref="B16:E23" totalsRowCount="1" headerRowDxfId="67" dataDxfId="66" totalsRowDxfId="65" headerRowCellStyle="Normal" dataCellStyle="Normal" totalsRowCellStyle="Normal">
  <autoFilter ref="B16:E22" xr:uid="{1CB0FA85-B34C-4EBC-AA20-D056D8CD4F8E}">
    <filterColumn colId="0" hiddenButton="1"/>
    <filterColumn colId="1" hiddenButton="1"/>
    <filterColumn colId="2" hiddenButton="1"/>
    <filterColumn colId="3" hiddenButton="1"/>
  </autoFilter>
  <tableColumns count="4">
    <tableColumn id="1" xr3:uid="{1E11C075-2173-49D2-A548-D0CE4C135876}" name="Column1" dataDxfId="64" totalsRowDxfId="63" dataCellStyle="Normal"/>
    <tableColumn id="2" xr3:uid="{6B7EADE8-D550-4E24-87C5-C77EE7F28E76}" name="Activity" totalsRowLabel="Annual usage cost" dataDxfId="62" totalsRowDxfId="61" totalsRowCellStyle="Style 1"/>
    <tableColumn id="3" xr3:uid="{59F0115F-97BE-41D0-8825-6EEC941DC388}" name="Cost" totalsRowFunction="sum" dataDxfId="60" totalsRowDxfId="59" dataCellStyle="Normal"/>
    <tableColumn id="4" xr3:uid="{850DEEF4-07B9-415B-A629-83A2EF1C4E14}" name="Terms" dataDxfId="58" totalsRowDxfId="57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4E9082-F675-4102-A79B-E8808A2720B6}" name="Table11" displayName="Table11" ref="B5:E12" totalsRowCount="1" headerRowDxfId="56" dataDxfId="55" totalsRowDxfId="54">
  <autoFilter ref="B5:E11" xr:uid="{47B1854B-6BCE-4D95-86AE-F10F36AE2399}">
    <filterColumn colId="0" hiddenButton="1"/>
    <filterColumn colId="1" hiddenButton="1"/>
    <filterColumn colId="2" hiddenButton="1"/>
    <filterColumn colId="3" hiddenButton="1"/>
  </autoFilter>
  <tableColumns count="4">
    <tableColumn id="1" xr3:uid="{ED614C00-4345-4C9B-B64B-4958E2794719}" name="Column1" dataDxfId="53" totalsRowDxfId="3"/>
    <tableColumn id="2" xr3:uid="{90195097-539C-4ACF-ADDD-2ED4E473606B}" name="Activity" totalsRowLabel="Annual purchase cost" dataDxfId="52" totalsRowDxfId="2" totalsRowCellStyle="Style 1"/>
    <tableColumn id="3" xr3:uid="{E63ECB4F-4459-4917-BA58-E72CAC00D4ED}" name="Cost" totalsRowFunction="custom" dataDxfId="51" totalsRowDxfId="1">
      <totalsRowFormula>IFERROR(-PMT(InterestRate,LoanTerm/12,PriceOfCar*(1+SalesTax)-DownPayment)+(PurchaseFees+DownPayment)/(LoanTerm/12),"")</totalsRowFormula>
    </tableColumn>
    <tableColumn id="4" xr3:uid="{E6B0FA0A-9577-4CC0-A4E6-E6BEF5E2C283}" name="Terms" dataDxfId="50" totalsRowDxfId="0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4B1D015-9348-4509-968D-1D7EBE868A9A}" name="Table12" displayName="Table12" ref="B26:E29" totalsRowCount="1" headerRowDxfId="49" dataDxfId="48" totalsRowDxfId="47">
  <autoFilter ref="B26:E28" xr:uid="{38C1A468-05BA-48ED-87B0-7D70B183B49C}">
    <filterColumn colId="0" hiddenButton="1"/>
    <filterColumn colId="1" hiddenButton="1"/>
    <filterColumn colId="2" hiddenButton="1"/>
    <filterColumn colId="3" hiddenButton="1"/>
  </autoFilter>
  <tableColumns count="4">
    <tableColumn id="1" xr3:uid="{AB3ED18F-69C1-4511-80DC-5E9BF3896F8F}" name="Column1" dataDxfId="46" totalsRowDxfId="45"/>
    <tableColumn id="2" xr3:uid="{23267CAF-2D64-42BF-BEB6-45AEF5C48520}" name="Activity" totalsRowLabel="Annual fuel cost" dataDxfId="44" totalsRowDxfId="43" totalsRowCellStyle="Style 1"/>
    <tableColumn id="3" xr3:uid="{6F236B94-4BE1-4481-8A50-BEDAA559D2A8}" name="Unit" totalsRowFunction="custom" dataDxfId="42" totalsRowDxfId="41">
      <totalsRowFormula>IFERROR(TotalMileage/FuelEfficiency*FuelCost,"")</totalsRowFormula>
    </tableColumn>
    <tableColumn id="4" xr3:uid="{439B8A5B-8709-4167-9657-A99E4D0D040E}" name="Terms" dataDxfId="40" totalsRowDxfId="39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5D705E5-10C7-45D3-A51D-FC8471AB72DB}" name="Table13" displayName="Table13" ref="B33:E35" totalsRowCount="1" headerRowDxfId="38" dataDxfId="37" totalsRowDxfId="35" tableBorderDxfId="36">
  <autoFilter ref="B33:E34" xr:uid="{3EB83652-1959-41AD-AA30-5D31826492DA}">
    <filterColumn colId="0" hiddenButton="1"/>
    <filterColumn colId="1" hiddenButton="1"/>
    <filterColumn colId="2" hiddenButton="1"/>
    <filterColumn colId="3" hiddenButton="1"/>
  </autoFilter>
  <tableColumns count="4">
    <tableColumn id="1" xr3:uid="{508A5E8E-F36F-4C95-A982-C9BB0A04CB32}" name="Column1" dataDxfId="34" totalsRowDxfId="33"/>
    <tableColumn id="2" xr3:uid="{91BE4328-3204-41DE-8B8B-7172F894A83E}" name="Activity" totalsRowLabel="Annual cost of time" dataDxfId="32" totalsRowDxfId="31" totalsRowCellStyle="Style 1"/>
    <tableColumn id="3" xr3:uid="{51A050D9-8D70-4B6A-BAB7-41C8AD3CBB19}" name="Unit" totalsRowFunction="custom" dataDxfId="30" totalsRowDxfId="29">
      <calculatedColumnFormula>IFERROR((AveTimePerTrip+AveParkingTime)*AverageTripsPerDay/60*RatePerHour*365,"")</calculatedColumnFormula>
      <totalsRowFormula>IFERROR((AveTimePerTrip+AveParkingTime)*AverageTripsPerDay/60*RatePerHour*365,"")</totalsRowFormula>
    </tableColumn>
    <tableColumn id="4" xr3:uid="{6A1AE62F-03DC-434F-89CE-4BA629D31344}" name="Terms" dataDxfId="28" totalsRowDxfId="27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28B16E0-700D-4FFE-BBED-A4D314BAE9D7}" name="Table14" displayName="Table14" ref="B5:E11" totalsRowCount="1" headerRowDxfId="26" dataDxfId="25" totalsRowDxfId="23" tableBorderDxfId="24">
  <autoFilter ref="B5:E10" xr:uid="{2F57DC15-7CEA-44AF-AE65-412C6A77A948}">
    <filterColumn colId="0" hiddenButton="1"/>
    <filterColumn colId="1" hiddenButton="1"/>
    <filterColumn colId="2" hiddenButton="1"/>
    <filterColumn colId="3" hiddenButton="1"/>
  </autoFilter>
  <tableColumns count="4">
    <tableColumn id="1" xr3:uid="{3F7BD8EC-8FCE-4924-9FDF-4CB52400499B}" name="Column1" dataDxfId="22" totalsRowDxfId="21"/>
    <tableColumn id="2" xr3:uid="{1CA6A7CE-AD18-4CA7-B9CD-F629F294DD85}" name="Activity" totalsRowLabel="Annual fare cost" dataDxfId="20" totalsRowDxfId="19" totalsRowCellStyle="Style 1"/>
    <tableColumn id="3" xr3:uid="{C01FDE94-BFA8-4A12-9E99-F6B2DD4750E9}" name="Costs/Percent" totalsRowFunction="custom" dataDxfId="18" totalsRowDxfId="17">
      <totalsRowFormula>IFERROR((BaseFare+DistanceFare*AveDistancePerTrip+TimeFare*AveTimePerTrip)*AverageTripsPerDay*365*((1-PercentRideDuringSurge)+AveSurgeMultiplier*PercentRideDuringSurge),"")</totalsRowFormula>
    </tableColumn>
    <tableColumn id="4" xr3:uid="{5E11BE52-9B36-4A52-9E2D-365AE3F5BDEF}" name="Terms" dataDxfId="16" totalsRowDxfId="15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A08D63A-752C-48FC-8B3A-4F7344E1056E}" name="Table15" displayName="Table15" ref="B15:E18" totalsRowCount="1" headerRowDxfId="14" dataDxfId="13" totalsRowDxfId="12">
  <autoFilter ref="B15:E17" xr:uid="{9C8A837B-A077-4BBA-8D92-18B6E0BED4C9}">
    <filterColumn colId="0" hiddenButton="1"/>
    <filterColumn colId="1" hiddenButton="1"/>
    <filterColumn colId="2" hiddenButton="1"/>
    <filterColumn colId="3" hiddenButton="1"/>
  </autoFilter>
  <tableColumns count="4">
    <tableColumn id="1" xr3:uid="{7B301A9E-B9A8-4697-A7A5-0710688F3135}" name="Column1" dataDxfId="11" totalsRowDxfId="10"/>
    <tableColumn id="2" xr3:uid="{985B8A8C-3FF3-4035-B14E-1A93BE3FE8C7}" name="Activity" totalsRowLabel="Annual cost of time" dataDxfId="9" totalsRowDxfId="8" totalsRowCellStyle="Style 1"/>
    <tableColumn id="3" xr3:uid="{342158EC-990D-49B9-8362-2F6AA5857720}" name="Cost" totalsRowFunction="custom" dataDxfId="7" totalsRowDxfId="6">
      <totalsRowFormula>IFERROR((AveWaitTime+AveTimePerTrip*(1-ProductivePercent))*AverageTripsPerDay/60*RatePerHour*365,"")</totalsRowFormula>
    </tableColumn>
    <tableColumn id="4" xr3:uid="{D7544E78-ACA3-4D25-912C-4E084BF78F8F}" name="Terms" dataDxfId="5" totalsRowDxfId="4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ar Rental 2">
      <a:dk1>
        <a:srgbClr val="000000"/>
      </a:dk1>
      <a:lt1>
        <a:srgbClr val="FFFFFF"/>
      </a:lt1>
      <a:dk2>
        <a:srgbClr val="579899"/>
      </a:dk2>
      <a:lt2>
        <a:srgbClr val="E7E6E6"/>
      </a:lt2>
      <a:accent1>
        <a:srgbClr val="7CB9B2"/>
      </a:accent1>
      <a:accent2>
        <a:srgbClr val="A9D4BE"/>
      </a:accent2>
      <a:accent3>
        <a:srgbClr val="D83A51"/>
      </a:accent3>
      <a:accent4>
        <a:srgbClr val="468181"/>
      </a:accent4>
      <a:accent5>
        <a:srgbClr val="F58220"/>
      </a:accent5>
      <a:accent6>
        <a:srgbClr val="974791"/>
      </a:accent6>
      <a:hlink>
        <a:srgbClr val="0563C1"/>
      </a:hlink>
      <a:folHlink>
        <a:srgbClr val="954F72"/>
      </a:folHlink>
    </a:clrScheme>
    <a:fontScheme name="Custom 1">
      <a:majorFont>
        <a:latin typeface="Tahoma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N22"/>
  <sheetViews>
    <sheetView showGridLines="0" zoomScaleNormal="100" workbookViewId="0"/>
  </sheetViews>
  <sheetFormatPr baseColWidth="10" defaultColWidth="9" defaultRowHeight="15"/>
  <cols>
    <col min="1" max="1" width="2.5" style="1" customWidth="1"/>
    <col min="2" max="2" width="1.5" style="1" customWidth="1"/>
    <col min="3" max="3" width="32.69921875" style="1" customWidth="1"/>
    <col min="4" max="5" width="30.69921875" style="2" customWidth="1"/>
    <col min="6" max="14" width="10.69921875" style="1" customWidth="1"/>
    <col min="15" max="15" width="2.5" style="1" customWidth="1"/>
    <col min="16" max="16" width="9" style="1" customWidth="1"/>
    <col min="17" max="16384" width="9" style="1"/>
  </cols>
  <sheetData>
    <row r="1" spans="1:14" s="3" customFormat="1" ht="15" customHeight="1" thickBot="1">
      <c r="A1" s="1"/>
      <c r="D1" s="1"/>
    </row>
    <row r="2" spans="1:14" s="9" customFormat="1" ht="100.2" customHeight="1" thickTop="1" thickBot="1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4" s="61" customFormat="1" ht="30" customHeight="1" thickTop="1" thickBot="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1:14" s="5" customFormat="1" ht="46.2" customHeight="1" thickTop="1" thickBot="1">
      <c r="B4" s="82" t="s">
        <v>1</v>
      </c>
      <c r="C4" s="82"/>
      <c r="D4" s="82"/>
      <c r="E4" s="82"/>
    </row>
    <row r="5" spans="1:14" s="3" customFormat="1" ht="30" hidden="1" customHeight="1">
      <c r="B5" s="60" t="s">
        <v>2</v>
      </c>
      <c r="C5" s="65" t="s">
        <v>3</v>
      </c>
      <c r="D5" s="66" t="s">
        <v>4</v>
      </c>
      <c r="E5" s="67" t="s">
        <v>5</v>
      </c>
    </row>
    <row r="6" spans="1:14" s="3" customFormat="1" ht="30" customHeight="1">
      <c r="B6" s="13"/>
      <c r="C6" s="14" t="s">
        <v>6</v>
      </c>
      <c r="D6" s="15">
        <v>2</v>
      </c>
      <c r="E6" s="16"/>
    </row>
    <row r="7" spans="1:14" s="3" customFormat="1" ht="30" customHeight="1">
      <c r="B7" s="13"/>
      <c r="C7" s="14" t="s">
        <v>7</v>
      </c>
      <c r="D7" s="15">
        <v>20</v>
      </c>
      <c r="E7" s="16" t="s">
        <v>8</v>
      </c>
    </row>
    <row r="8" spans="1:14" s="5" customFormat="1" ht="30" customHeight="1">
      <c r="B8" s="13"/>
      <c r="C8" s="14" t="s">
        <v>9</v>
      </c>
      <c r="D8" s="17">
        <v>10</v>
      </c>
      <c r="E8" s="16" t="s">
        <v>10</v>
      </c>
    </row>
    <row r="9" spans="1:14" s="3" customFormat="1" ht="30" customHeight="1">
      <c r="B9" s="13"/>
      <c r="C9" s="14" t="s">
        <v>11</v>
      </c>
      <c r="D9" s="18">
        <f>IFERROR(AverageTripsPerDay*AveDistancePerTrip*365,"")</f>
        <v>7300</v>
      </c>
      <c r="E9" s="16" t="s">
        <v>10</v>
      </c>
    </row>
    <row r="10" spans="1:14" s="3" customFormat="1" ht="30" customHeight="1">
      <c r="A10" s="1"/>
      <c r="D10" s="1"/>
    </row>
    <row r="11" spans="1:14" s="5" customFormat="1" ht="46.2" customHeight="1" thickBot="1">
      <c r="B11" s="83" t="s">
        <v>12</v>
      </c>
      <c r="C11" s="83"/>
      <c r="D11" s="83"/>
      <c r="E11" s="83"/>
    </row>
    <row r="12" spans="1:14" s="3" customFormat="1" ht="30" hidden="1" customHeight="1">
      <c r="B12" s="59" t="s">
        <v>2</v>
      </c>
      <c r="C12" s="19" t="s">
        <v>3</v>
      </c>
      <c r="D12" s="20" t="s">
        <v>4</v>
      </c>
      <c r="E12" s="21" t="s">
        <v>5</v>
      </c>
    </row>
    <row r="13" spans="1:14" s="3" customFormat="1" ht="30" customHeight="1">
      <c r="B13" s="22"/>
      <c r="C13" s="23" t="s">
        <v>13</v>
      </c>
      <c r="D13" s="24">
        <v>20</v>
      </c>
      <c r="E13" s="25"/>
    </row>
    <row r="14" spans="1:14" s="3" customFormat="1" ht="30" customHeight="1">
      <c r="A14" s="1"/>
      <c r="D14" s="1"/>
    </row>
    <row r="15" spans="1:14" s="3" customFormat="1" ht="46.2" customHeight="1" thickBot="1">
      <c r="B15" s="83" t="s">
        <v>14</v>
      </c>
      <c r="C15" s="83"/>
      <c r="D15" s="83"/>
      <c r="E15" s="83"/>
    </row>
    <row r="16" spans="1:14" s="3" customFormat="1" ht="30" customHeight="1">
      <c r="B16" s="26" t="s">
        <v>15</v>
      </c>
      <c r="C16" s="68" t="s">
        <v>2</v>
      </c>
      <c r="D16" s="27" t="s">
        <v>16</v>
      </c>
      <c r="E16" s="27" t="s">
        <v>17</v>
      </c>
    </row>
    <row r="17" spans="2:5" s="3" customFormat="1" ht="30" customHeight="1">
      <c r="B17" s="13"/>
      <c r="C17" s="14" t="s">
        <v>18</v>
      </c>
      <c r="D17" s="28">
        <f>AnnualPurchaseCost</f>
        <v>7187.314844765674</v>
      </c>
      <c r="E17" s="28" t="s">
        <v>19</v>
      </c>
    </row>
    <row r="18" spans="2:5" s="3" customFormat="1" ht="30" customHeight="1">
      <c r="B18" s="13"/>
      <c r="C18" s="14" t="s">
        <v>20</v>
      </c>
      <c r="D18" s="28">
        <f>AnnualUsageCost</f>
        <v>2990</v>
      </c>
      <c r="E18" s="28" t="s">
        <v>19</v>
      </c>
    </row>
    <row r="19" spans="2:5" ht="30" customHeight="1">
      <c r="B19" s="13"/>
      <c r="C19" s="14" t="s">
        <v>21</v>
      </c>
      <c r="D19" s="28">
        <f>AnnualFuelCost</f>
        <v>617.69230769230762</v>
      </c>
      <c r="E19" s="28" t="s">
        <v>19</v>
      </c>
    </row>
    <row r="20" spans="2:5" ht="30" customHeight="1">
      <c r="B20" s="13"/>
      <c r="C20" s="14" t="s">
        <v>22</v>
      </c>
      <c r="D20" s="28" t="s">
        <v>19</v>
      </c>
      <c r="E20" s="28">
        <f>AnnualFareCost</f>
        <v>12340.65</v>
      </c>
    </row>
    <row r="21" spans="2:5" ht="30" customHeight="1">
      <c r="B21" s="13"/>
      <c r="C21" s="14" t="s">
        <v>12</v>
      </c>
      <c r="D21" s="28">
        <f>AnnualCostOfTime_BuyCar</f>
        <v>7300</v>
      </c>
      <c r="E21" s="28">
        <f>AnnualCostOfTime_Ridesharing</f>
        <v>2190</v>
      </c>
    </row>
    <row r="22" spans="2:5" ht="30" customHeight="1">
      <c r="B22" s="29"/>
      <c r="C22" s="30" t="s">
        <v>23</v>
      </c>
      <c r="D22" s="28">
        <f>SUBTOTAL(109,Table7[Buy a car])</f>
        <v>18095.007152457983</v>
      </c>
      <c r="E22" s="28">
        <f>SUBTOTAL(109,Table7[Rideshare])</f>
        <v>14530.65</v>
      </c>
    </row>
  </sheetData>
  <mergeCells count="4">
    <mergeCell ref="B2:N2"/>
    <mergeCell ref="B4:E4"/>
    <mergeCell ref="B11:E11"/>
    <mergeCell ref="B15:E15"/>
  </mergeCells>
  <dataValidations count="3">
    <dataValidation allowBlank="1" showInputMessage="1" showErrorMessage="1" prompt="This table auto updates using data from buying a car tab and ridesharing tab." sqref="B15" xr:uid="{00000000-0002-0000-0000-000001000000}"/>
    <dataValidation allowBlank="1" showInputMessage="1" showErrorMessage="1" prompt="Enter average travel data in cells C6 to E9." sqref="B4:E4" xr:uid="{293336D8-1D56-4469-9A1C-FF10F5012F93}"/>
    <dataValidation allowBlank="1" showInputMessage="1" showErrorMessage="1" prompt="How much would you pay to save time?_x000a__x000a_Enter cost of your time in cell D13." sqref="B11:E11" xr:uid="{44AF5CC4-FE0A-4FF2-8B4F-DE3066D8FF93}"/>
  </dataValidations>
  <pageMargins left="0.7" right="0.7" top="0.75" bottom="0.75" header="0.3" footer="0.3"/>
  <pageSetup scale="86" orientation="landscape" horizontalDpi="4294967293" verticalDpi="0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O37"/>
  <sheetViews>
    <sheetView showGridLines="0" tabSelected="1" zoomScaleNormal="100" workbookViewId="0">
      <selection activeCell="B15" sqref="B15:E15"/>
    </sheetView>
  </sheetViews>
  <sheetFormatPr baseColWidth="10" defaultColWidth="9" defaultRowHeight="22.2" customHeight="1"/>
  <cols>
    <col min="1" max="1" width="2.5" style="1" customWidth="1"/>
    <col min="2" max="2" width="1.5" style="3" customWidth="1"/>
    <col min="3" max="3" width="32.69921875" style="3" customWidth="1"/>
    <col min="4" max="4" width="30.69921875" style="1" customWidth="1"/>
    <col min="5" max="5" width="30.69921875" style="3" customWidth="1"/>
    <col min="6" max="6" width="2.5" style="3" customWidth="1"/>
    <col min="7" max="14" width="8.5" style="3" customWidth="1"/>
    <col min="15" max="15" width="1.5" style="3" customWidth="1"/>
    <col min="16" max="16384" width="9" style="3"/>
  </cols>
  <sheetData>
    <row r="1" spans="1:15" ht="15" customHeight="1"/>
    <row r="2" spans="1:15" s="10" customFormat="1" ht="82.2" customHeight="1">
      <c r="A2" s="9"/>
      <c r="B2" s="86" t="s">
        <v>16</v>
      </c>
      <c r="C2" s="86"/>
      <c r="D2" s="86"/>
      <c r="E2" s="86"/>
    </row>
    <row r="3" spans="1:15" s="64" customFormat="1" ht="30" customHeight="1" thickBot="1">
      <c r="A3" s="61"/>
      <c r="B3" s="63"/>
      <c r="C3" s="63"/>
      <c r="D3" s="63"/>
      <c r="E3" s="63"/>
    </row>
    <row r="4" spans="1:15" s="6" customFormat="1" ht="46.2" customHeight="1" thickTop="1" thickBot="1">
      <c r="A4" s="5"/>
      <c r="B4" s="82" t="s">
        <v>18</v>
      </c>
      <c r="C4" s="82"/>
      <c r="D4" s="82"/>
      <c r="E4" s="82"/>
    </row>
    <row r="5" spans="1:15" ht="30" customHeight="1">
      <c r="A5" s="3"/>
      <c r="B5" s="58" t="s">
        <v>2</v>
      </c>
      <c r="C5" s="80" t="s">
        <v>24</v>
      </c>
      <c r="D5" s="70" t="s">
        <v>25</v>
      </c>
      <c r="E5" s="70" t="s">
        <v>26</v>
      </c>
    </row>
    <row r="6" spans="1:15" ht="30" customHeight="1">
      <c r="A6" s="3"/>
      <c r="B6" s="13"/>
      <c r="C6" s="14" t="s">
        <v>27</v>
      </c>
      <c r="D6" s="31">
        <v>30000</v>
      </c>
      <c r="E6" s="16"/>
    </row>
    <row r="7" spans="1:15" ht="30" customHeight="1">
      <c r="A7" s="5"/>
      <c r="B7" s="13"/>
      <c r="C7" s="14" t="s">
        <v>28</v>
      </c>
      <c r="D7" s="31">
        <v>5.7500000000000002E-2</v>
      </c>
      <c r="E7" s="16"/>
    </row>
    <row r="8" spans="1:15" ht="30" customHeight="1">
      <c r="A8" s="3"/>
      <c r="B8" s="13"/>
      <c r="C8" s="14" t="s">
        <v>29</v>
      </c>
      <c r="D8" s="31">
        <v>220</v>
      </c>
      <c r="E8" s="16"/>
      <c r="O8" s="1"/>
    </row>
    <row r="9" spans="1:15" s="1" customFormat="1" ht="30" customHeight="1">
      <c r="A9" s="5"/>
      <c r="B9" s="13"/>
      <c r="C9" s="14" t="s">
        <v>30</v>
      </c>
      <c r="D9" s="31">
        <v>3000</v>
      </c>
      <c r="E9" s="16" t="s">
        <v>31</v>
      </c>
      <c r="O9" s="4"/>
    </row>
    <row r="10" spans="1:15" s="12" customFormat="1" ht="30" customHeight="1">
      <c r="A10" s="11"/>
      <c r="B10" s="32"/>
      <c r="C10" s="33" t="s">
        <v>32</v>
      </c>
      <c r="D10" s="34">
        <v>60</v>
      </c>
      <c r="E10" s="35"/>
    </row>
    <row r="11" spans="1:15" ht="30" customHeight="1">
      <c r="A11" s="3"/>
      <c r="B11" s="13"/>
      <c r="C11" s="14" t="s">
        <v>33</v>
      </c>
      <c r="D11" s="31">
        <v>4.4999999999999998E-2</v>
      </c>
      <c r="E11" s="16"/>
    </row>
    <row r="12" spans="1:15" ht="30" customHeight="1">
      <c r="A12" s="3"/>
      <c r="B12" s="29"/>
      <c r="C12" s="30" t="s">
        <v>34</v>
      </c>
      <c r="D12" s="31">
        <f>IFERROR(-PMT(InterestRate,LoanTerm/12,PriceOfCar*(1+SalesTax)-DownPayment)+(PurchaseFees+DownPayment)/(LoanTerm/12),"")</f>
        <v>7187.314844765674</v>
      </c>
      <c r="E12" s="15"/>
    </row>
    <row r="13" spans="1:15" ht="30" customHeight="1">
      <c r="A13" s="3"/>
      <c r="B13" s="36"/>
      <c r="C13" s="37" t="str">
        <f>IF(AnnualPurchaseCost="","","For loan term of " &amp; TEXT(LoanTerm/12,"0.0") &amp; " years")</f>
        <v>For loan term of 5.0 years</v>
      </c>
      <c r="D13" s="38"/>
      <c r="E13" s="39"/>
    </row>
    <row r="14" spans="1:15" ht="30" customHeight="1"/>
    <row r="15" spans="1:15" s="1" customFormat="1" ht="46.2" customHeight="1" thickBot="1">
      <c r="A15" s="3"/>
      <c r="B15" s="84" t="s">
        <v>20</v>
      </c>
      <c r="C15" s="84"/>
      <c r="D15" s="84"/>
      <c r="E15" s="84"/>
      <c r="O15" s="5"/>
    </row>
    <row r="16" spans="1:15" s="5" customFormat="1" ht="30" customHeight="1">
      <c r="A16" s="1"/>
      <c r="B16" s="59" t="s">
        <v>2</v>
      </c>
      <c r="C16" s="71" t="s">
        <v>24</v>
      </c>
      <c r="D16" s="72" t="s">
        <v>25</v>
      </c>
      <c r="E16" s="73" t="s">
        <v>26</v>
      </c>
      <c r="O16" s="3"/>
    </row>
    <row r="17" spans="1:15" ht="30" customHeight="1">
      <c r="B17" s="13"/>
      <c r="C17" s="14" t="s">
        <v>35</v>
      </c>
      <c r="D17" s="28">
        <v>1000</v>
      </c>
      <c r="E17" s="16" t="s">
        <v>36</v>
      </c>
    </row>
    <row r="18" spans="1:15" ht="30" customHeight="1">
      <c r="B18" s="13"/>
      <c r="C18" s="14" t="s">
        <v>37</v>
      </c>
      <c r="D18" s="28">
        <v>815</v>
      </c>
      <c r="E18" s="16" t="s">
        <v>36</v>
      </c>
      <c r="O18" s="4"/>
    </row>
    <row r="19" spans="1:15" ht="30" customHeight="1">
      <c r="B19" s="13"/>
      <c r="C19" s="14" t="s">
        <v>38</v>
      </c>
      <c r="D19" s="28">
        <v>75</v>
      </c>
      <c r="E19" s="16" t="s">
        <v>36</v>
      </c>
      <c r="O19" s="4"/>
    </row>
    <row r="20" spans="1:15" s="4" customFormat="1" ht="30" customHeight="1">
      <c r="A20" s="1"/>
      <c r="B20" s="13"/>
      <c r="C20" s="14" t="s">
        <v>39</v>
      </c>
      <c r="D20" s="28">
        <v>500</v>
      </c>
      <c r="E20" s="16" t="s">
        <v>36</v>
      </c>
      <c r="O20" s="1"/>
    </row>
    <row r="21" spans="1:15" s="1" customFormat="1" ht="30" customHeight="1">
      <c r="B21" s="13"/>
      <c r="C21" s="14" t="s">
        <v>40</v>
      </c>
      <c r="D21" s="28">
        <v>500</v>
      </c>
      <c r="E21" s="16" t="s">
        <v>36</v>
      </c>
      <c r="O21" s="3"/>
    </row>
    <row r="22" spans="1:15" ht="30" customHeight="1">
      <c r="B22" s="13"/>
      <c r="C22" s="14" t="s">
        <v>41</v>
      </c>
      <c r="D22" s="28">
        <v>100</v>
      </c>
      <c r="E22" s="16" t="s">
        <v>36</v>
      </c>
    </row>
    <row r="23" spans="1:15" ht="30" customHeight="1">
      <c r="B23" s="13"/>
      <c r="C23" s="30" t="s">
        <v>42</v>
      </c>
      <c r="D23" s="31">
        <f>SUBTOTAL(109,Table3[Cost])</f>
        <v>2990</v>
      </c>
      <c r="E23" s="31"/>
    </row>
    <row r="24" spans="1:15" ht="30" customHeight="1"/>
    <row r="25" spans="1:15" ht="46.2" customHeight="1" thickBot="1">
      <c r="B25" s="85" t="s">
        <v>21</v>
      </c>
      <c r="C25" s="85"/>
      <c r="D25" s="85"/>
      <c r="E25" s="85"/>
    </row>
    <row r="26" spans="1:15" ht="30" customHeight="1">
      <c r="B26" s="74" t="s">
        <v>2</v>
      </c>
      <c r="C26" s="69" t="s">
        <v>24</v>
      </c>
      <c r="D26" s="70" t="s">
        <v>43</v>
      </c>
      <c r="E26" s="70" t="s">
        <v>26</v>
      </c>
    </row>
    <row r="27" spans="1:15" ht="30" customHeight="1">
      <c r="B27" s="13"/>
      <c r="C27" s="14" t="s">
        <v>44</v>
      </c>
      <c r="D27" s="31">
        <v>3.3</v>
      </c>
      <c r="E27" s="16" t="s">
        <v>45</v>
      </c>
    </row>
    <row r="28" spans="1:15" ht="30" customHeight="1">
      <c r="B28" s="13"/>
      <c r="C28" s="14" t="s">
        <v>46</v>
      </c>
      <c r="D28" s="15">
        <v>39</v>
      </c>
      <c r="E28" s="16" t="s">
        <v>47</v>
      </c>
    </row>
    <row r="29" spans="1:15" ht="30" customHeight="1">
      <c r="B29" s="29"/>
      <c r="C29" s="30" t="s">
        <v>48</v>
      </c>
      <c r="D29" s="31">
        <f>IFERROR(TotalMileage/FuelEfficiency*FuelCost,"")</f>
        <v>617.69230769230762</v>
      </c>
      <c r="E29" s="15"/>
    </row>
    <row r="30" spans="1:15" ht="30" customHeight="1">
      <c r="B30" s="40"/>
      <c r="C30" s="41" t="str">
        <f>IF(AnnualFuelCost="","","Based on " &amp; TEXT(TotalMileage,"#,##0") &amp; " total annual mileage")</f>
        <v>Based on 7,300 total annual mileage</v>
      </c>
      <c r="D30" s="42"/>
      <c r="E30" s="43"/>
    </row>
    <row r="31" spans="1:15" ht="30" customHeight="1"/>
    <row r="32" spans="1:15" ht="46.2" customHeight="1" thickBot="1">
      <c r="B32" s="84" t="s">
        <v>12</v>
      </c>
      <c r="C32" s="84"/>
      <c r="D32" s="84"/>
      <c r="E32" s="84"/>
    </row>
    <row r="33" spans="2:5" ht="30" customHeight="1">
      <c r="B33" s="75" t="s">
        <v>2</v>
      </c>
      <c r="C33" s="76" t="s">
        <v>24</v>
      </c>
      <c r="D33" s="77" t="s">
        <v>43</v>
      </c>
      <c r="E33" s="77" t="s">
        <v>26</v>
      </c>
    </row>
    <row r="34" spans="2:5" ht="30" customHeight="1">
      <c r="B34" s="13"/>
      <c r="C34" s="14" t="s">
        <v>49</v>
      </c>
      <c r="D34" s="15">
        <v>10</v>
      </c>
      <c r="E34" s="16" t="s">
        <v>50</v>
      </c>
    </row>
    <row r="35" spans="2:5" ht="30" customHeight="1">
      <c r="B35" s="29"/>
      <c r="C35" s="30" t="s">
        <v>51</v>
      </c>
      <c r="D35" s="31">
        <f>IFERROR((AveTimePerTrip+AveParkingTime)*AverageTripsPerDay/60*RatePerHour*365,"")</f>
        <v>7300</v>
      </c>
      <c r="E35" s="44"/>
    </row>
    <row r="36" spans="2:5" ht="30" customHeight="1">
      <c r="B36" s="36"/>
      <c r="C36" s="37" t="str">
        <f>IF(AnnualCostOfTime_BuyCar="","","Based on " &amp; AverageTripsPerDay &amp; " trips per day, " &amp; AveTimePerTrip + AveParkingTime &amp; " mins each trip, &amp; " &amp; TEXT(RatePerHour,"$#,##0.00") &amp; " rate per hour")</f>
        <v>Based on 2 trips per day, 30 mins each trip, &amp; $20.00 rate per hour</v>
      </c>
      <c r="D36" s="45"/>
      <c r="E36" s="46"/>
    </row>
    <row r="37" spans="2:5" ht="15" customHeight="1"/>
  </sheetData>
  <mergeCells count="5">
    <mergeCell ref="B4:E4"/>
    <mergeCell ref="B15:E15"/>
    <mergeCell ref="B25:E25"/>
    <mergeCell ref="B32:E32"/>
    <mergeCell ref="B2:E2"/>
  </mergeCells>
  <dataValidations count="4">
    <dataValidation allowBlank="1" showInputMessage="1" showErrorMessage="1" prompt="Enter car purchase data in cell C6 through E11." sqref="B4:E4" xr:uid="{29362C92-8BDE-4B46-AFA3-4BF3E6ECE85E}"/>
    <dataValidation allowBlank="1" showInputMessage="1" showErrorMessage="1" prompt="Enter average parking time including walk to and from car to cell D34." sqref="B32:E32" xr:uid="{0B289B8C-9543-4381-A61B-4D9411E3B376}"/>
    <dataValidation allowBlank="1" showInputMessage="1" showErrorMessage="1" prompt="Enter fuel data in cell C27 through E28." sqref="B25:E25" xr:uid="{837D94D1-CAA0-4AAD-854B-25FE879E599A}"/>
    <dataValidation allowBlank="1" showInputMessage="1" showErrorMessage="1" prompt="Enter car usage data in cell C17 through E22." sqref="B15:E15" xr:uid="{BEB210D7-C211-48AE-B61E-759945289CA8}"/>
  </dataValidations>
  <pageMargins left="0.7" right="0.7" top="0.75" bottom="0.75" header="0.3" footer="0.3"/>
  <pageSetup orientation="portrait" horizontalDpi="4294967293" verticalDpi="0" r:id="rId1"/>
  <ignoredErrors>
    <ignoredError sqref="D34" calculatedColumn="1"/>
  </ignoredErrors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N21"/>
  <sheetViews>
    <sheetView showGridLines="0" zoomScaleNormal="100" workbookViewId="0"/>
  </sheetViews>
  <sheetFormatPr baseColWidth="10" defaultColWidth="9" defaultRowHeight="22.2" customHeight="1"/>
  <cols>
    <col min="1" max="1" width="2.5" style="1" customWidth="1"/>
    <col min="2" max="2" width="1.5" style="3" customWidth="1"/>
    <col min="3" max="3" width="32.69921875" style="3" customWidth="1"/>
    <col min="4" max="5" width="30.69921875" style="3" customWidth="1"/>
    <col min="6" max="6" width="2.5" style="3" customWidth="1"/>
    <col min="7" max="14" width="8.5" style="3" customWidth="1"/>
    <col min="15" max="15" width="1.5" style="3" customWidth="1"/>
    <col min="16" max="16384" width="9" style="3"/>
  </cols>
  <sheetData>
    <row r="1" spans="1:14" ht="15" customHeight="1">
      <c r="D1" s="1"/>
    </row>
    <row r="2" spans="1:14" s="10" customFormat="1" ht="82.2" customHeight="1" thickBot="1">
      <c r="A2" s="9"/>
      <c r="B2" s="87" t="s">
        <v>17</v>
      </c>
      <c r="C2" s="87"/>
      <c r="D2" s="87"/>
      <c r="E2" s="87"/>
    </row>
    <row r="3" spans="1:14" s="64" customFormat="1" ht="30" customHeight="1" thickTop="1">
      <c r="A3" s="61"/>
      <c r="B3" s="63"/>
      <c r="C3" s="63"/>
      <c r="D3" s="63"/>
      <c r="E3" s="63"/>
    </row>
    <row r="4" spans="1:14" s="5" customFormat="1" ht="46.2" customHeight="1">
      <c r="B4" s="88" t="s">
        <v>52</v>
      </c>
      <c r="C4" s="88"/>
      <c r="D4" s="88"/>
      <c r="E4" s="88"/>
      <c r="F4"/>
      <c r="G4"/>
      <c r="H4"/>
      <c r="I4"/>
      <c r="J4"/>
      <c r="K4"/>
      <c r="L4"/>
      <c r="M4"/>
      <c r="N4"/>
    </row>
    <row r="5" spans="1:14" ht="30" customHeight="1">
      <c r="A5" s="3"/>
      <c r="B5" s="75" t="s">
        <v>2</v>
      </c>
      <c r="C5" s="78" t="s">
        <v>24</v>
      </c>
      <c r="D5" s="79" t="s">
        <v>53</v>
      </c>
      <c r="E5" s="79" t="s">
        <v>26</v>
      </c>
    </row>
    <row r="6" spans="1:14" ht="30" customHeight="1">
      <c r="A6" s="3"/>
      <c r="B6" s="47"/>
      <c r="C6" s="48" t="s">
        <v>54</v>
      </c>
      <c r="D6" s="49">
        <v>2.2999999999999998</v>
      </c>
      <c r="E6" s="50" t="s">
        <v>55</v>
      </c>
    </row>
    <row r="7" spans="1:14" ht="30" customHeight="1">
      <c r="A7" s="3"/>
      <c r="B7" s="47"/>
      <c r="C7" s="48" t="s">
        <v>56</v>
      </c>
      <c r="D7" s="49">
        <v>1</v>
      </c>
      <c r="E7" s="50" t="s">
        <v>57</v>
      </c>
    </row>
    <row r="8" spans="1:14" s="1" customFormat="1" ht="30" customHeight="1">
      <c r="A8" s="5"/>
      <c r="B8" s="47"/>
      <c r="C8" s="48" t="s">
        <v>58</v>
      </c>
      <c r="D8" s="49">
        <v>0.12</v>
      </c>
      <c r="E8" s="50" t="s">
        <v>59</v>
      </c>
    </row>
    <row r="9" spans="1:14" s="7" customFormat="1" ht="30" customHeight="1">
      <c r="A9" s="3"/>
      <c r="B9" s="47"/>
      <c r="C9" s="48" t="s">
        <v>60</v>
      </c>
      <c r="D9" s="51">
        <v>2.5</v>
      </c>
      <c r="E9" s="50"/>
    </row>
    <row r="10" spans="1:14" s="8" customFormat="1" ht="30" customHeight="1">
      <c r="A10" s="5"/>
      <c r="B10" s="47"/>
      <c r="C10" s="48" t="s">
        <v>61</v>
      </c>
      <c r="D10" s="52">
        <v>0.1</v>
      </c>
      <c r="E10" s="50"/>
    </row>
    <row r="11" spans="1:14" s="4" customFormat="1" ht="30" customHeight="1">
      <c r="A11" s="3"/>
      <c r="B11" s="53"/>
      <c r="C11" s="30" t="s">
        <v>62</v>
      </c>
      <c r="D11" s="49">
        <f>IFERROR((BaseFare+DistanceFare*AveDistancePerTrip+TimeFare*AveTimePerTrip)*AverageTripsPerDay*365*((1-PercentRideDuringSurge)+AveSurgeMultiplier*PercentRideDuringSurge),"")</f>
        <v>12340.65</v>
      </c>
      <c r="E11" s="54"/>
    </row>
    <row r="12" spans="1:14" ht="30" customHeight="1">
      <c r="A12" s="3"/>
      <c r="B12" s="55"/>
      <c r="C12" s="56" t="str">
        <f>IF(AnnualFareCost="","","Based on " &amp; AverageTripsPerDay &amp; " trips per day, " &amp; AveTimePerTrip &amp; " mins &amp; " &amp; AveDistancePerTrip &amp; " miles per trip")</f>
        <v>Based on 2 trips per day, 20 mins &amp; 10 miles per trip</v>
      </c>
      <c r="D12" s="57"/>
      <c r="E12" s="57"/>
    </row>
    <row r="13" spans="1:14" ht="30" customHeight="1">
      <c r="D13" s="1"/>
    </row>
    <row r="14" spans="1:14" ht="46.2" customHeight="1" thickBot="1">
      <c r="A14" s="3"/>
      <c r="B14" s="85" t="s">
        <v>12</v>
      </c>
      <c r="C14" s="85"/>
      <c r="D14" s="85"/>
      <c r="E14" s="85"/>
    </row>
    <row r="15" spans="1:14" ht="30" customHeight="1">
      <c r="A15" s="3"/>
      <c r="B15" s="74" t="s">
        <v>2</v>
      </c>
      <c r="C15" s="69" t="s">
        <v>24</v>
      </c>
      <c r="D15" s="70" t="s">
        <v>25</v>
      </c>
      <c r="E15" s="70" t="s">
        <v>26</v>
      </c>
    </row>
    <row r="16" spans="1:14" ht="30" customHeight="1">
      <c r="A16" s="3"/>
      <c r="B16" s="13"/>
      <c r="C16" s="14" t="s">
        <v>63</v>
      </c>
      <c r="D16" s="31">
        <v>5</v>
      </c>
      <c r="E16" s="16" t="s">
        <v>50</v>
      </c>
    </row>
    <row r="17" spans="1:5" ht="30" customHeight="1">
      <c r="A17" s="3"/>
      <c r="B17" s="13"/>
      <c r="C17" s="14" t="s">
        <v>64</v>
      </c>
      <c r="D17" s="31">
        <v>0.8</v>
      </c>
      <c r="E17" s="16"/>
    </row>
    <row r="18" spans="1:5" ht="30" customHeight="1">
      <c r="B18" s="29"/>
      <c r="C18" s="30" t="s">
        <v>51</v>
      </c>
      <c r="D18" s="31">
        <f>IFERROR((AveWaitTime+AveTimePerTrip*(1-ProductivePercent))*AverageTripsPerDay/60*RatePerHour*365,"")</f>
        <v>2190</v>
      </c>
      <c r="E18" s="15"/>
    </row>
    <row r="19" spans="1:5" ht="30" customHeight="1">
      <c r="B19" s="36"/>
      <c r="C19" s="37" t="str">
        <f>IF(AnnualCostOfTime_Ridesharing="","","Based on " &amp; AverageTripsPerDay &amp; " trips per day, " &amp; AveTimePerTrip &amp; " mins each trip, &amp; " &amp; TEXT(RatePerHour,"$#,##0.00") &amp; " rate per hour")</f>
        <v>Based on 2 trips per day, 20 mins each trip, &amp; $20.00 rate per hour</v>
      </c>
      <c r="D19" s="45"/>
      <c r="E19" s="46"/>
    </row>
    <row r="20" spans="1:5" ht="22.2" customHeight="1">
      <c r="D20" s="1"/>
    </row>
    <row r="21" spans="1:5" ht="22.2" customHeight="1">
      <c r="D21" s="1"/>
    </row>
  </sheetData>
  <mergeCells count="3">
    <mergeCell ref="B2:E2"/>
    <mergeCell ref="B4:E4"/>
    <mergeCell ref="B14:E14"/>
  </mergeCells>
  <dataValidations count="2">
    <dataValidation allowBlank="1" showInputMessage="1" showErrorMessage="1" prompt="Enter average wait time per trip and % productivity in cell D16 &amp; D17." sqref="B14:E14" xr:uid="{3CC16F23-B335-43A8-B9CF-7D2F55BA017F}"/>
    <dataValidation allowBlank="1" showInputMessage="1" showErrorMessage="1" prompt="Enter ridesharing fare data in cell C6 to E10." sqref="B4:E4" xr:uid="{52940D6D-D2FA-46C1-B15E-5FAFB993ECCC}"/>
  </dataValidations>
  <pageMargins left="0.7" right="0.7" top="0.75" bottom="0.75" header="0.3" footer="0.3"/>
  <pageSetup orientation="portrait" horizontalDpi="4294967293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ackground xmlns="71af3243-3dd4-4a8d-8c0d-dd76da1f02a5">false</Background>
    <Status xmlns="71af3243-3dd4-4a8d-8c0d-dd76da1f02a5">Not started</Status>
    <_ip_UnifiedCompliancePolicyUIAction xmlns="http://schemas.microsoft.com/sharepoint/v3" xsi:nil="true"/>
    <Image xmlns="71af3243-3dd4-4a8d-8c0d-dd76da1f02a5">
      <Url xsi:nil="true"/>
      <Description xsi:nil="true"/>
    </Image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916CA0A6-4FAA-4A1B-9C7C-92245E3B14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D6E3EC-16C2-4ADF-B568-9E49558FFD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0A3473-C459-485E-80F6-25692C531ED5}">
  <ds:schemaRefs>
    <ds:schemaRef ds:uri="http://schemas.microsoft.com/office/2006/metadata/properties"/>
    <ds:schemaRef ds:uri="http://schemas.microsoft.com/office/infopath/2007/PartnerControls"/>
    <ds:schemaRef ds:uri="71af3243-3dd4-4a8d-8c0d-dd76da1f02a5"/>
    <ds:schemaRef ds:uri="http://schemas.microsoft.com/sharepoint/v3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TM16410091</Templat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33</vt:i4>
      </vt:variant>
    </vt:vector>
  </HeadingPairs>
  <TitlesOfParts>
    <vt:vector size="36" baseType="lpstr">
      <vt:lpstr>Summary</vt:lpstr>
      <vt:lpstr>Buy a car</vt:lpstr>
      <vt:lpstr>Rideshare</vt:lpstr>
      <vt:lpstr>AnnualCostOfTime_BuyCar</vt:lpstr>
      <vt:lpstr>AnnualCostOfTime_Ridesharing</vt:lpstr>
      <vt:lpstr>AnnualFareCost</vt:lpstr>
      <vt:lpstr>AnnualFuelCost</vt:lpstr>
      <vt:lpstr>AnnualPurchaseCost</vt:lpstr>
      <vt:lpstr>AnnualUsageCost</vt:lpstr>
      <vt:lpstr>AveDistancePerTrip</vt:lpstr>
      <vt:lpstr>AveParkingTime</vt:lpstr>
      <vt:lpstr>AverageTripsPerDay</vt:lpstr>
      <vt:lpstr>AveSurgeMultiplier</vt:lpstr>
      <vt:lpstr>AveTimePerTrip</vt:lpstr>
      <vt:lpstr>AveWaitTime</vt:lpstr>
      <vt:lpstr>BaseFare</vt:lpstr>
      <vt:lpstr>DistanceFare</vt:lpstr>
      <vt:lpstr>DownPayment</vt:lpstr>
      <vt:lpstr>FuelCost</vt:lpstr>
      <vt:lpstr>FuelEfficiency</vt:lpstr>
      <vt:lpstr>GarageExpenses</vt:lpstr>
      <vt:lpstr>GaragePropertyTax</vt:lpstr>
      <vt:lpstr>Insurance</vt:lpstr>
      <vt:lpstr>InterestRate</vt:lpstr>
      <vt:lpstr>LoanTerm</vt:lpstr>
      <vt:lpstr>MaintenanceAndRepairs</vt:lpstr>
      <vt:lpstr>Parking</vt:lpstr>
      <vt:lpstr>PercentRideDuringSurge</vt:lpstr>
      <vt:lpstr>PriceOfCar</vt:lpstr>
      <vt:lpstr>ProductivePercent</vt:lpstr>
      <vt:lpstr>PurchaseFees</vt:lpstr>
      <vt:lpstr>RatePerHour</vt:lpstr>
      <vt:lpstr>RegistrationAndTaxes</vt:lpstr>
      <vt:lpstr>SalesTax</vt:lpstr>
      <vt:lpstr>TimeFare</vt:lpstr>
      <vt:lpstr>TotalMileage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2023-01-31T06:56:13Z</dcterms:created>
  <dcterms:modified xsi:type="dcterms:W3CDTF">2026-07-29T12:12:00Z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